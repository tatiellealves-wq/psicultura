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" sheetId="1" state="visible" r:id="rId1"/>
    <sheet name="Cómo u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.5"/>
    </font>
    <font>
      <name val="Arial"/>
      <b val="1"/>
      <color rgb="00D99A22"/>
      <sz val="9"/>
    </font>
    <font>
      <name val="Arial"/>
      <b val="1"/>
      <color rgb="00FFFFFF"/>
      <sz val="11"/>
    </font>
    <font>
      <name val="Arial"/>
      <color rgb="001A2B32"/>
      <sz val="10"/>
    </font>
    <font>
      <name val="Arial"/>
      <b val="1"/>
      <color rgb="001A2B32"/>
      <sz val="10"/>
    </font>
    <font>
      <name val="Arial"/>
      <color rgb="005B6B72"/>
      <sz val="9"/>
    </font>
    <font>
      <name val="Arial"/>
      <i val="1"/>
      <color rgb="005B6B72"/>
      <sz val="8.5"/>
    </font>
    <font>
      <name val="Arial"/>
      <b val="1"/>
      <color rgb="00FFFFFF"/>
      <sz val="13"/>
    </font>
    <font>
      <name val="Arial"/>
      <color rgb="000A5A62"/>
      <sz val="10"/>
    </font>
    <font>
      <name val="Arial"/>
      <b val="1"/>
      <color rgb="000A5A62"/>
      <sz val="9"/>
    </font>
    <font>
      <name val="Arial"/>
      <b val="1"/>
      <color rgb="000A5A62"/>
      <sz val="18"/>
    </font>
    <font>
      <name val="Arial"/>
      <color rgb="001A2B32"/>
      <sz val="11"/>
    </font>
    <font>
      <name val="Arial"/>
      <b val="1"/>
      <color rgb="000A5A62"/>
      <sz val="12"/>
    </font>
    <font>
      <name val="Arial"/>
      <b val="1"/>
      <color rgb="00D99A22"/>
      <sz val="12"/>
    </font>
  </fonts>
  <fills count="9">
    <fill>
      <patternFill/>
    </fill>
    <fill>
      <patternFill patternType="gray125"/>
    </fill>
    <fill>
      <patternFill patternType="solid">
        <fgColor rgb="000A5A62"/>
      </patternFill>
    </fill>
    <fill>
      <patternFill patternType="solid">
        <fgColor rgb="000E7C86"/>
      </patternFill>
    </fill>
    <fill>
      <patternFill patternType="solid">
        <fgColor rgb="00FBF3E2"/>
      </patternFill>
    </fill>
    <fill>
      <patternFill patternType="solid">
        <fgColor rgb="00FFF2B2"/>
      </patternFill>
    </fill>
    <fill>
      <patternFill patternType="solid">
        <fgColor rgb="002E9E5B"/>
      </patternFill>
    </fill>
    <fill>
      <patternFill patternType="solid">
        <fgColor rgb="00E7F3EC"/>
      </patternFill>
    </fill>
    <fill>
      <patternFill patternType="solid">
        <fgColor rgb="00EAF4F5"/>
      </patternFill>
    </fill>
  </fills>
  <borders count="3">
    <border>
      <left/>
      <right/>
      <top/>
      <bottom/>
      <diagonal/>
    </border>
    <border>
      <left style="thin">
        <color rgb="00D99A22"/>
      </left>
      <right style="thin">
        <color rgb="00D99A22"/>
      </right>
      <top style="thin">
        <color rgb="00D99A22"/>
      </top>
      <bottom style="thin">
        <color rgb="00D99A22"/>
      </bottom>
    </border>
    <border>
      <left style="thin">
        <color rgb="00CFE0E2"/>
      </left>
      <right style="thin">
        <color rgb="00CFE0E2"/>
      </right>
      <top style="thin">
        <color rgb="00CFE0E2"/>
      </top>
      <bottom style="thin">
        <color rgb="00CFE0E2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left" vertical="center" indent="1"/>
    </xf>
    <xf numFmtId="0" fontId="5" fillId="0" borderId="2" applyAlignment="1" pivotButton="0" quotePrefix="0" xfId="0">
      <alignment horizontal="left" vertical="center" wrapText="1"/>
    </xf>
    <xf numFmtId="0" fontId="6" fillId="5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 wrapText="1"/>
    </xf>
    <xf numFmtId="3" fontId="6" fillId="5" borderId="2" applyAlignment="1" pivotButton="0" quotePrefix="0" xfId="0">
      <alignment horizontal="center" vertical="center"/>
    </xf>
    <xf numFmtId="0" fontId="0" fillId="0" borderId="2" pivotButton="0" quotePrefix="0" xfId="0"/>
    <xf numFmtId="0" fontId="6" fillId="0" borderId="2" applyAlignment="1" pivotButton="0" quotePrefix="0" xfId="0">
      <alignment horizontal="left" vertical="center" wrapText="1"/>
    </xf>
    <xf numFmtId="3" fontId="6" fillId="0" borderId="2" applyAlignment="1" pivotButton="0" quotePrefix="0" xfId="0">
      <alignment horizontal="center" vertical="center"/>
    </xf>
    <xf numFmtId="0" fontId="7" fillId="0" borderId="2" pivotButton="0" quotePrefix="0" xfId="0"/>
    <xf numFmtId="9" fontId="6" fillId="5" borderId="2" applyAlignment="1" pivotButton="0" quotePrefix="0" xfId="0">
      <alignment horizontal="center" vertical="center"/>
    </xf>
    <xf numFmtId="3" fontId="5" fillId="0" borderId="2" applyAlignment="1" pivotButton="0" quotePrefix="0" xfId="0">
      <alignment horizontal="center" vertical="center"/>
    </xf>
    <xf numFmtId="0" fontId="9" fillId="6" borderId="0" applyAlignment="1" pivotButton="0" quotePrefix="0" xfId="0">
      <alignment horizontal="left" vertical="center" indent="1"/>
    </xf>
    <xf numFmtId="0" fontId="10" fillId="0" borderId="2" applyAlignment="1" pivotButton="0" quotePrefix="0" xfId="0">
      <alignment horizontal="left" vertical="center" wrapText="1"/>
    </xf>
    <xf numFmtId="3" fontId="6" fillId="7" borderId="2" applyAlignment="1" pivotButton="0" quotePrefix="0" xfId="0">
      <alignment horizontal="center" vertical="center"/>
    </xf>
    <xf numFmtId="0" fontId="7" fillId="7" borderId="2" pivotButton="0" quotePrefix="0" xfId="0"/>
    <xf numFmtId="0" fontId="8" fillId="7" borderId="2" applyAlignment="1" pivotButton="0" quotePrefix="0" xfId="0">
      <alignment horizontal="left" vertical="center" wrapText="1"/>
    </xf>
    <xf numFmtId="4" fontId="6" fillId="7" borderId="2" applyAlignment="1" pivotButton="0" quotePrefix="0" xfId="0">
      <alignment horizontal="center" vertical="center"/>
    </xf>
    <xf numFmtId="9" fontId="6" fillId="7" borderId="2" applyAlignment="1" pivotButton="0" quotePrefix="0" xfId="0">
      <alignment horizontal="center" vertical="center"/>
    </xf>
    <xf numFmtId="164" fontId="6" fillId="7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5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Tilapia Rentable</author>
  </authors>
  <commentList>
    <comment ref="C26" authorId="0" shapeId="0">
      <text>
        <t>FCA = kilos de alimento para producir 1 kg de pez. Es EL número del negocio. Bien manejado ronda 1,4–1,6. Arriba de 1,8 tu margen desaparece.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4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6" customWidth="1" min="3" max="3"/>
    <col width="16" customWidth="1" min="4" max="4"/>
    <col width="40" customWidth="1" min="5" max="5"/>
    <col width="2" customWidth="1" min="6" max="6"/>
  </cols>
  <sheetData>
    <row r="2" ht="30" customHeight="1">
      <c r="B2" s="1" t="inlineStr">
        <is>
          <t>Calculadora de Retorno (ROI) — Tilapia Rentable</t>
        </is>
      </c>
    </row>
    <row r="3" ht="18" customHeight="1">
      <c r="B3" s="2" t="inlineStr">
        <is>
          <t>Bono del e-book. Edita SOLO las celdas amarillas con los precios de tu ciudad y moneda.</t>
        </is>
      </c>
    </row>
    <row r="5" ht="22" customHeight="1">
      <c r="B5" s="3" t="inlineStr">
        <is>
          <t>🟡 Celdas AMARILLAS = tú las editas   ·   ⬜ Celdas blancas/verdes = se calculan solas (no las toques)</t>
        </is>
      </c>
    </row>
    <row r="7" ht="22" customHeight="1">
      <c r="B7" s="4" t="inlineStr">
        <is>
          <t>1 · Tu moneda</t>
        </is>
      </c>
    </row>
    <row r="8" ht="20" customHeight="1">
      <c r="B8" s="5" t="inlineStr">
        <is>
          <t>Nombre de tu moneda (ej: MXN, COP, PEN, USD)</t>
        </is>
      </c>
      <c r="C8" s="6" t="inlineStr">
        <is>
          <t>USD</t>
        </is>
      </c>
      <c r="D8" s="7" t="inlineStr">
        <is>
          <t>texto</t>
        </is>
      </c>
      <c r="E8" s="8" t="inlineStr">
        <is>
          <t>Solo referencia visual. Usa la misma moneda en toda la planilla.</t>
        </is>
      </c>
    </row>
    <row r="10" ht="22" customHeight="1">
      <c r="B10" s="4" t="inlineStr">
        <is>
          <t>2 · Inversión fija (una sola vez, dura varios ciclos)</t>
        </is>
      </c>
    </row>
    <row r="11" ht="20" customHeight="1">
      <c r="B11" s="5" t="inlineStr">
        <is>
          <t>Tanque / estanque + estructura</t>
        </is>
      </c>
      <c r="C11" s="9" t="n">
        <v>1600</v>
      </c>
      <c r="D11" s="7" t="inlineStr">
        <is>
          <t>moneda</t>
        </is>
      </c>
      <c r="E11" s="10" t="n"/>
    </row>
    <row r="12" ht="20" customHeight="1">
      <c r="B12" s="5" t="inlineStr">
        <is>
          <t>Sistema de aireación / bomba</t>
        </is>
      </c>
      <c r="C12" s="9" t="n">
        <v>650</v>
      </c>
      <c r="D12" s="7" t="inlineStr">
        <is>
          <t>moneda</t>
        </is>
      </c>
      <c r="E12" s="10" t="n"/>
    </row>
    <row r="13" ht="20" customHeight="1">
      <c r="B13" s="5" t="inlineStr">
        <is>
          <t>Equipo de manejo, red, báscula, cosecha</t>
        </is>
      </c>
      <c r="C13" s="9" t="n">
        <v>400</v>
      </c>
      <c r="D13" s="7" t="inlineStr">
        <is>
          <t>moneda</t>
        </is>
      </c>
      <c r="E13" s="10" t="n"/>
    </row>
    <row r="14" ht="20" customHeight="1">
      <c r="B14" s="5" t="inlineStr">
        <is>
          <t>Otros equipos fijos</t>
        </is>
      </c>
      <c r="C14" s="9" t="n">
        <v>0</v>
      </c>
      <c r="D14" s="7" t="inlineStr">
        <is>
          <t>moneda</t>
        </is>
      </c>
      <c r="E14" s="10" t="n"/>
    </row>
    <row r="15" ht="20" customHeight="1">
      <c r="B15" s="11" t="inlineStr">
        <is>
          <t>➤ Subtotal inversión fija</t>
        </is>
      </c>
      <c r="C15" s="12">
        <f>SUM(C11:C14)</f>
        <v/>
      </c>
      <c r="D15" s="13" t="n"/>
      <c r="E15" s="10" t="n"/>
    </row>
    <row r="17" ht="22" customHeight="1">
      <c r="B17" s="4" t="inlineStr">
        <is>
          <t>3 · Tu producción (por ciclo)</t>
        </is>
      </c>
    </row>
    <row r="18" ht="20" customHeight="1">
      <c r="B18" s="5" t="inlineStr">
        <is>
          <t>Alevines sembrados</t>
        </is>
      </c>
      <c r="C18" s="9" t="n">
        <v>3000</v>
      </c>
      <c r="D18" s="7" t="inlineStr">
        <is>
          <t>peces</t>
        </is>
      </c>
      <c r="E18" s="10" t="n"/>
    </row>
    <row r="19" ht="20" customHeight="1">
      <c r="B19" s="5" t="inlineStr">
        <is>
          <t>Mortalidad esperada</t>
        </is>
      </c>
      <c r="C19" s="14" t="n">
        <v>0.1</v>
      </c>
      <c r="D19" s="7" t="inlineStr">
        <is>
          <t>%</t>
        </is>
      </c>
      <c r="E19" s="8" t="inlineStr">
        <is>
          <t>Para principiante usa 10%.</t>
        </is>
      </c>
    </row>
    <row r="20" ht="20" customHeight="1">
      <c r="B20" s="5" t="inlineStr">
        <is>
          <t>Peso promedio a la cosecha</t>
        </is>
      </c>
      <c r="C20" s="6" t="n">
        <v>0.55</v>
      </c>
      <c r="D20" s="7" t="inlineStr">
        <is>
          <t>kg/pez</t>
        </is>
      </c>
      <c r="E20" s="8" t="inlineStr">
        <is>
          <t>Talla comercial: 0,4–0,6 kg.</t>
        </is>
      </c>
    </row>
    <row r="21" ht="20" customHeight="1">
      <c r="B21" s="5" t="inlineStr">
        <is>
          <t>➤ Peces cosechados</t>
        </is>
      </c>
      <c r="C21" s="15">
        <f>ROUND(C18*(1-C19),0)</f>
        <v/>
      </c>
      <c r="D21" s="13" t="n"/>
      <c r="E21" s="8" t="inlineStr">
        <is>
          <t>Sobreviven al ciclo.</t>
        </is>
      </c>
    </row>
    <row r="22" ht="20" customHeight="1">
      <c r="B22" s="11" t="inlineStr">
        <is>
          <t>➤ Kilos producidos por ciclo</t>
        </is>
      </c>
      <c r="C22" s="12">
        <f>ROUND(C21*C20,0)</f>
        <v/>
      </c>
      <c r="D22" s="13" t="n"/>
      <c r="E22" s="8" t="inlineStr">
        <is>
          <t>Tu cosecha total en kg.</t>
        </is>
      </c>
    </row>
    <row r="24" ht="22" customHeight="1">
      <c r="B24" s="4" t="inlineStr">
        <is>
          <t>4 · Costo de operación (cada ciclo)</t>
        </is>
      </c>
    </row>
    <row r="25" ht="20" customHeight="1">
      <c r="B25" s="5" t="inlineStr">
        <is>
          <t>Costo de los alevines</t>
        </is>
      </c>
      <c r="C25" s="9" t="n">
        <v>330</v>
      </c>
      <c r="D25" s="7" t="inlineStr">
        <is>
          <t>moneda</t>
        </is>
      </c>
      <c r="E25" s="10" t="n"/>
    </row>
    <row r="26" ht="20" customHeight="1">
      <c r="B26" s="5" t="inlineStr">
        <is>
          <t>Conversión alimenticia (FCA)</t>
        </is>
      </c>
      <c r="C26" s="6" t="n">
        <v>1.6</v>
      </c>
      <c r="D26" s="7" t="inlineStr">
        <is>
          <t>kg alim./kg pez</t>
        </is>
      </c>
      <c r="E26" s="8" t="inlineStr">
        <is>
          <t>Meta: ≤1,6. Es el número clave.</t>
        </is>
      </c>
    </row>
    <row r="27" ht="20" customHeight="1">
      <c r="B27" s="5" t="inlineStr">
        <is>
          <t>Precio del alimento balanceado</t>
        </is>
      </c>
      <c r="C27" s="6" t="n">
        <v>0.75</v>
      </c>
      <c r="D27" s="7" t="inlineStr">
        <is>
          <t>moneda/kg</t>
        </is>
      </c>
      <c r="E27" s="8" t="inlineStr">
        <is>
          <t>Precio por kg de alimento.</t>
        </is>
      </c>
    </row>
    <row r="28" ht="20" customHeight="1">
      <c r="B28" s="11" t="inlineStr">
        <is>
          <t>➤ Costo de alimento del ciclo</t>
        </is>
      </c>
      <c r="C28" s="12">
        <f>ROUND(C22*C26*C27,0)</f>
        <v/>
      </c>
      <c r="D28" s="13" t="n"/>
      <c r="E28" s="8" t="inlineStr">
        <is>
          <t>Kilos × FCA × precio. Suele ser el 40–70% del costo.</t>
        </is>
      </c>
    </row>
    <row r="29" ht="20" customHeight="1">
      <c r="B29" s="5" t="inlineStr">
        <is>
          <t>Energía (todo el ciclo)</t>
        </is>
      </c>
      <c r="C29" s="9" t="n">
        <v>500</v>
      </c>
      <c r="D29" s="7" t="inlineStr">
        <is>
          <t>moneda</t>
        </is>
      </c>
      <c r="E29" s="10" t="n"/>
    </row>
    <row r="30" ht="20" customHeight="1">
      <c r="B30" s="5" t="inlineStr">
        <is>
          <t>Mano de obra (todo el ciclo)</t>
        </is>
      </c>
      <c r="C30" s="9" t="n">
        <v>400</v>
      </c>
      <c r="D30" s="7" t="inlineStr">
        <is>
          <t>moneda</t>
        </is>
      </c>
      <c r="E30" s="10" t="n"/>
    </row>
    <row r="31" ht="20" customHeight="1">
      <c r="B31" s="5" t="inlineStr">
        <is>
          <t>Otros (agua, sanidad, transporte)</t>
        </is>
      </c>
      <c r="C31" s="9" t="n">
        <v>200</v>
      </c>
      <c r="D31" s="7" t="inlineStr">
        <is>
          <t>moneda</t>
        </is>
      </c>
      <c r="E31" s="10" t="n"/>
    </row>
    <row r="32" ht="20" customHeight="1">
      <c r="B32" s="5" t="inlineStr">
        <is>
          <t>Imprevistos</t>
        </is>
      </c>
      <c r="C32" s="14" t="n">
        <v>0.1</v>
      </c>
      <c r="D32" s="7" t="inlineStr">
        <is>
          <t>%</t>
        </is>
      </c>
      <c r="E32" s="8" t="inlineStr">
        <is>
          <t>Sobre el resto de la operación.</t>
        </is>
      </c>
    </row>
    <row r="33" ht="20" customHeight="1">
      <c r="B33" s="11" t="inlineStr">
        <is>
          <t>➤ Subtotal costo de operación</t>
        </is>
      </c>
      <c r="C33" s="12">
        <f>ROUND((C25+C28+C29+C30+C31)*(1+C32),0)</f>
        <v/>
      </c>
      <c r="D33" s="13" t="n"/>
      <c r="E33" s="10" t="n"/>
    </row>
    <row r="35" ht="22" customHeight="1">
      <c r="B35" s="4" t="inlineStr">
        <is>
          <t>5 · Tu venta</t>
        </is>
      </c>
    </row>
    <row r="36" ht="20" customHeight="1">
      <c r="B36" s="5" t="inlineStr">
        <is>
          <t>Precio de venta por kg</t>
        </is>
      </c>
      <c r="C36" s="6" t="n">
        <v>3</v>
      </c>
      <c r="D36" s="7" t="inlineStr">
        <is>
          <t>moneda/kg</t>
        </is>
      </c>
      <c r="E36" s="8" t="inlineStr">
        <is>
          <t>Lo que te paga el comprador.</t>
        </is>
      </c>
    </row>
    <row r="37" ht="20" customHeight="1">
      <c r="B37" s="11" t="inlineStr">
        <is>
          <t>➤ Ingreso por ciclo</t>
        </is>
      </c>
      <c r="C37" s="12">
        <f>ROUND(C22*C36,0)</f>
        <v/>
      </c>
      <c r="D37" s="13" t="n"/>
      <c r="E37" s="10" t="n"/>
    </row>
    <row r="39" ht="26" customHeight="1">
      <c r="B39" s="16" t="inlineStr">
        <is>
          <t>📊  TUS RESULTADOS</t>
        </is>
      </c>
    </row>
    <row r="40" ht="20" customHeight="1">
      <c r="B40" s="17" t="inlineStr">
        <is>
          <t>Inversión total para ARRANCAR (fija + 1er ciclo de operación)</t>
        </is>
      </c>
      <c r="C40" s="18">
        <f>C15+C33</f>
        <v/>
      </c>
      <c r="D40" s="19" t="n"/>
      <c r="E40" s="20" t="inlineStr">
        <is>
          <t>El dinero que necesitas ANTES de sembrar.</t>
        </is>
      </c>
    </row>
    <row r="41" ht="20" customHeight="1">
      <c r="B41" s="17" t="inlineStr">
        <is>
          <t>Costo real por kilo producido</t>
        </is>
      </c>
      <c r="C41" s="21">
        <f>ROUND(C33/C22,2)</f>
        <v/>
      </c>
      <c r="D41" s="19" t="n"/>
      <c r="E41" s="20" t="inlineStr">
        <is>
          <t>Si tu precio de venta es MENOR a esto, PIERDES.</t>
        </is>
      </c>
    </row>
    <row r="42" ht="20" customHeight="1">
      <c r="B42" s="17" t="inlineStr">
        <is>
          <t>Ganancia neta por ciclo (desde el 2° ciclo)</t>
        </is>
      </c>
      <c r="C42" s="18">
        <f>C37-C33</f>
        <v/>
      </c>
      <c r="D42" s="19" t="n"/>
      <c r="E42" s="20" t="inlineStr">
        <is>
          <t>Ingreso menos operación (la inversión fija ya está pagada).</t>
        </is>
      </c>
    </row>
    <row r="43" ht="20" customHeight="1">
      <c r="B43" s="17" t="inlineStr">
        <is>
          <t>Margen sobre ventas</t>
        </is>
      </c>
      <c r="C43" s="22">
        <f>IFERROR((C37-C33)/C37,0)</f>
        <v/>
      </c>
      <c r="D43" s="19" t="n"/>
      <c r="E43" s="20" t="inlineStr">
        <is>
          <t>Qué % de cada venta te queda.</t>
        </is>
      </c>
    </row>
    <row r="44" ht="20" customHeight="1">
      <c r="B44" s="17" t="inlineStr">
        <is>
          <t>Retorno del 1er ciclo (ROI incluyendo inversión fija)</t>
        </is>
      </c>
      <c r="C44" s="22">
        <f>IFERROR((C37-C33-C15)/C40,0)</f>
        <v/>
      </c>
      <c r="D44" s="19" t="n"/>
      <c r="E44" s="20" t="inlineStr">
        <is>
          <t>Negativo normal el 1er ciclo: aún pagas la estructura.</t>
        </is>
      </c>
    </row>
    <row r="45" ht="20" customHeight="1">
      <c r="B45" s="17" t="inlineStr">
        <is>
          <t>Ciclos para recuperar la inversión fija</t>
        </is>
      </c>
      <c r="C45" s="23">
        <f>IFERROR(ROUNDUP(C15/(C37-C33),1),0)</f>
        <v/>
      </c>
      <c r="D45" s="19" t="n"/>
      <c r="E45" s="20" t="inlineStr">
        <is>
          <t>Cada ciclo ≈ 6 meses.</t>
        </is>
      </c>
    </row>
    <row r="46" ht="20" customHeight="1">
      <c r="B46" s="17" t="inlineStr">
        <is>
          <t>⚠ Capital mínimo que debes tener asegurado</t>
        </is>
      </c>
      <c r="C46" s="18">
        <f>C15+C33</f>
        <v/>
      </c>
      <c r="D46" s="19" t="n"/>
      <c r="E46" s="20" t="inlineStr">
        <is>
          <t>Nunca siembres sin tener cubierto este monto.</t>
        </is>
      </c>
    </row>
    <row r="48" ht="34" customHeight="1">
      <c r="B48" s="24" t="inlineStr">
        <is>
          <t>Regla de oro: si el «Costo real por kilo» es mayor o igual que tu «Precio de venta por kg», el proyecto pierde dinero. Baja tu FCA, negocia mejor el alimento o sube tu precio de venta.</t>
        </is>
      </c>
    </row>
    <row r="49">
      <c r="B49" s="25" t="inlineStr">
        <is>
          <t>Cifras precargadas = Escenario B del e-book (ilustrativas). Reemplázalas por las de tu ciudad.</t>
        </is>
      </c>
    </row>
  </sheetData>
  <mergeCells count="11">
    <mergeCell ref="B17:E17"/>
    <mergeCell ref="B35:E35"/>
    <mergeCell ref="B49:E49"/>
    <mergeCell ref="B48:E48"/>
    <mergeCell ref="B7:E7"/>
    <mergeCell ref="B39:E39"/>
    <mergeCell ref="B3:E3"/>
    <mergeCell ref="B5:E5"/>
    <mergeCell ref="B2:E2"/>
    <mergeCell ref="B24:E24"/>
    <mergeCell ref="B10:E10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1" ht="16" customHeight="1"/>
    <row r="2" ht="16" customHeight="1">
      <c r="B2" s="26" t="inlineStr">
        <is>
          <t>Cómo usar tu Calculadora de ROI</t>
        </is>
      </c>
    </row>
    <row r="3" ht="16" customHeight="1"/>
    <row r="4" ht="30" customHeight="1">
      <c r="B4" s="27" t="inlineStr">
        <is>
          <t>Esta planilla es el bono de la guía «Tilapia Rentable». Sirve para saber, con TUS números, si tu proyecto de tilapia es rentable y cuánto capital necesitas antes de empezar.</t>
        </is>
      </c>
    </row>
    <row r="5" ht="16" customHeight="1"/>
    <row r="6" ht="16" customHeight="1">
      <c r="B6" s="28" t="inlineStr">
        <is>
          <t>Paso 1 — Haz tu copia</t>
        </is>
      </c>
    </row>
    <row r="7" ht="15" customHeight="1">
      <c r="B7" s="29" t="inlineStr">
        <is>
          <t>• En Excel: guarda el archivo con otro nombre antes de editar.</t>
        </is>
      </c>
    </row>
    <row r="8" ht="30" customHeight="1">
      <c r="B8" s="29" t="inlineStr">
        <is>
          <t>• En Google Sheets: Archivo → Hacer una copia. Así trabajas sobre TU copia y conservas la original.</t>
        </is>
      </c>
    </row>
    <row r="9" ht="16" customHeight="1"/>
    <row r="10" ht="16" customHeight="1">
      <c r="B10" s="28" t="inlineStr">
        <is>
          <t>Paso 2 — Edita solo las celdas amarillas</t>
        </is>
      </c>
    </row>
    <row r="11" ht="45" customHeight="1">
      <c r="B11" s="29" t="inlineStr">
        <is>
          <t>En la hoja «Calculadora», las celdas amarillas son las únicas que debes cambiar. Reemplaza cada valor por el precio real de tu ciudad y en tu moneda (alevines, alimento, energía, precio de venta, etc.). No borres ni modifiques las celdas verdes o blancas: son fórmulas.</t>
        </is>
      </c>
    </row>
    <row r="12" ht="16" customHeight="1"/>
    <row r="13" ht="16" customHeight="1">
      <c r="B13" s="28" t="inlineStr">
        <is>
          <t>Paso 3 — Lee tus resultados</t>
        </is>
      </c>
    </row>
    <row r="14" ht="15" customHeight="1">
      <c r="B14" s="29" t="inlineStr">
        <is>
          <t>La sección verde «TUS RESULTADOS» se actualiza sola. Fíjate especialmente en:</t>
        </is>
      </c>
    </row>
    <row r="15" ht="15" customHeight="1">
      <c r="B15" s="30" t="inlineStr">
        <is>
          <t>• Costo real por kilo → si es mayor que tu precio de venta, PIERDES dinero.</t>
        </is>
      </c>
    </row>
    <row r="16" ht="15" customHeight="1">
      <c r="B16" s="30" t="inlineStr">
        <is>
          <t>• Capital mínimo asegurado → el dinero que debes tener ANTES de sembrar.</t>
        </is>
      </c>
    </row>
    <row r="17" ht="30" customHeight="1">
      <c r="B17" s="30" t="inlineStr">
        <is>
          <t>• Ciclos para recuperar la inversión → cuántas cosechas (~6 meses c/u) hasta recuperar la estructura.</t>
        </is>
      </c>
    </row>
    <row r="18" ht="16" customHeight="1"/>
    <row r="19" ht="16" customHeight="1">
      <c r="B19" s="28" t="inlineStr">
        <is>
          <t>Los 3 números que deciden tu rentabilidad</t>
        </is>
      </c>
    </row>
    <row r="20" ht="15" customHeight="1">
      <c r="B20" s="29" t="inlineStr">
        <is>
          <t>1. FCA (conversión alimenticia): kg de alimento por kg de pez. Meta ≤ 1,6.</t>
        </is>
      </c>
    </row>
    <row r="21" ht="15" customHeight="1">
      <c r="B21" s="29" t="inlineStr">
        <is>
          <t>2. Precio del alimento: es el 40–70% de tu costo. Negocia por volumen.</t>
        </is>
      </c>
    </row>
    <row r="22" ht="15" customHeight="1">
      <c r="B22" s="29" t="inlineStr">
        <is>
          <t>3. Precio de venta por kg: consíguelo con el comprador ANTES de sembrar.</t>
        </is>
      </c>
    </row>
    <row r="23" ht="16" customHeight="1"/>
    <row r="24" ht="16" customHeight="1">
      <c r="B24" s="31" t="inlineStr">
        <is>
          <t>Recuerda</t>
        </is>
      </c>
    </row>
    <row r="25" ht="45" customHeight="1">
      <c r="B25" s="29" t="inlineStr">
        <is>
          <t>Los valores precargados son el «Escenario B» del e-book (500 m², 3.000 peces) y son ilustrativos en USD. Tu realidad depende de los precios de tu país y de tu manejo. Esta planilla es una herramienta de planeación, no una garantía de resultados.</t>
        </is>
      </c>
    </row>
    <row r="26" ht="16" customHeight="1"/>
  </sheetData>
  <mergeCells count="6">
    <mergeCell ref="B13"/>
    <mergeCell ref="B6"/>
    <mergeCell ref="B24"/>
    <mergeCell ref="B2"/>
    <mergeCell ref="B10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2026-07-19T17:12:07Z</dcterms:created>
  <dcterms:modified xsi:type="dcterms:W3CDTF">2026-07-19T17:12:07Z</dcterms:modified>
</cp:coreProperties>
</file>