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ón 12 me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0">
    <font>
      <name val="Calibri"/>
      <family val="2"/>
      <color theme="1"/>
      <sz val="11"/>
      <scheme val="minor"/>
    </font>
    <font>
      <b val="1"/>
      <color rgb="000A5A62"/>
      <sz val="16"/>
    </font>
    <font>
      <i val="1"/>
      <color rgb="0048605F"/>
      <sz val="10"/>
    </font>
    <font>
      <b val="1"/>
      <color rgb="00FFFFFF"/>
      <sz val="10"/>
    </font>
    <font>
      <color rgb="001C2E30"/>
      <sz val="11"/>
    </font>
    <font>
      <color rgb="001C2E30"/>
      <sz val="10"/>
    </font>
    <font>
      <b val="1"/>
      <color rgb="0005313A"/>
      <sz val="11"/>
    </font>
    <font>
      <b val="1"/>
      <color rgb="000E7C86"/>
      <sz val="11"/>
    </font>
    <font>
      <b val="1"/>
      <color rgb="00C25A45"/>
      <sz val="11"/>
    </font>
    <font>
      <b val="1"/>
      <color rgb="00FFFFFF"/>
      <sz val="9"/>
    </font>
    <font>
      <b val="1"/>
      <color rgb="000E7C86"/>
      <sz val="10"/>
    </font>
    <font>
      <color rgb="001C2E30"/>
      <sz val="9"/>
    </font>
    <font>
      <b val="1"/>
      <color rgb="001C2E30"/>
      <sz val="11"/>
    </font>
    <font>
      <b val="1"/>
      <color rgb="00F4D79B"/>
      <sz val="10"/>
    </font>
    <font>
      <b val="1"/>
      <color rgb="00FFFFFF"/>
      <sz val="11"/>
    </font>
    <font>
      <b val="1"/>
      <color rgb="00F4D79B"/>
      <sz val="11"/>
    </font>
    <font>
      <b val="1"/>
      <color rgb="000A5A62"/>
      <sz val="11"/>
    </font>
    <font>
      <b val="1"/>
      <color rgb="000E7C86"/>
      <sz val="12"/>
    </font>
    <font>
      <i val="1"/>
      <color rgb="0048605F"/>
      <sz val="9"/>
    </font>
    <font>
      <i val="1"/>
      <color rgb="008A9A99"/>
      <sz val="8"/>
    </font>
  </fonts>
  <fills count="6">
    <fill>
      <patternFill/>
    </fill>
    <fill>
      <patternFill patternType="gray125"/>
    </fill>
    <fill>
      <patternFill patternType="solid">
        <fgColor rgb="000A5A62"/>
      </patternFill>
    </fill>
    <fill>
      <patternFill patternType="solid">
        <fgColor rgb="00F4D79B"/>
      </patternFill>
    </fill>
    <fill>
      <patternFill patternType="solid">
        <fgColor rgb="000E7C86"/>
      </patternFill>
    </fill>
    <fill>
      <patternFill patternType="solid">
        <fgColor rgb="0005313A"/>
      </patternFill>
    </fill>
  </fills>
  <borders count="2">
    <border>
      <left/>
      <right/>
      <top/>
      <bottom/>
      <diagonal/>
    </border>
    <border>
      <bottom style="thin">
        <color rgb="00CFE6E5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3" fontId="6" fillId="3" borderId="0" applyAlignment="1" pivotButton="0" quotePrefix="0" xfId="0">
      <alignment horizontal="right" vertical="center"/>
    </xf>
    <xf numFmtId="4" fontId="6" fillId="3" borderId="0" applyAlignment="1" pivotButton="0" quotePrefix="0" xfId="0">
      <alignment horizontal="right" vertical="center"/>
    </xf>
    <xf numFmtId="164" fontId="6" fillId="3" borderId="0" applyAlignment="1" pivotButton="0" quotePrefix="0" xfId="0">
      <alignment horizontal="right" vertical="center"/>
    </xf>
    <xf numFmtId="9" fontId="6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3" fontId="7" fillId="0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12" fillId="0" borderId="1" applyAlignment="1" pivotButton="0" quotePrefix="0" xfId="0">
      <alignment horizontal="right" vertical="center"/>
    </xf>
    <xf numFmtId="0" fontId="13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3" fontId="14" fillId="5" borderId="0" applyAlignment="1" pivotButton="0" quotePrefix="0" xfId="0">
      <alignment horizontal="right" vertical="center"/>
    </xf>
    <xf numFmtId="3" fontId="15" fillId="5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3" fontId="17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" customWidth="1" min="8" max="8"/>
  </cols>
  <sheetData>
    <row r="2">
      <c r="B2" s="1" t="inlineStr">
        <is>
          <t>ACELERADOR TILAPIA · Proyección a 12 meses</t>
        </is>
      </c>
    </row>
    <row r="3">
      <c r="B3" s="2" t="inlineStr">
        <is>
          <t>Cambia solo las celdas amarillas. Todo lo demás se calcula solo.</t>
        </is>
      </c>
    </row>
    <row r="5">
      <c r="B5" s="3" t="inlineStr">
        <is>
          <t>TUS DATOS (edita aquí)</t>
        </is>
      </c>
      <c r="C5" s="4" t="n"/>
    </row>
    <row r="6">
      <c r="B6" s="5" t="inlineStr">
        <is>
          <t>Nº de alevines sembrados</t>
        </is>
      </c>
      <c r="C6" s="6" t="n">
        <v>1000</v>
      </c>
    </row>
    <row r="7">
      <c r="B7" s="5" t="inlineStr">
        <is>
          <t>Precio por alevín</t>
        </is>
      </c>
      <c r="C7" s="7" t="n">
        <v>0.2</v>
      </c>
    </row>
    <row r="8">
      <c r="B8" s="5" t="inlineStr">
        <is>
          <t>Costo inicial (tanque, equipo) — solo 1 vez</t>
        </is>
      </c>
      <c r="C8" s="6" t="n">
        <v>400</v>
      </c>
    </row>
    <row r="9">
      <c r="B9" s="5" t="inlineStr">
        <is>
          <t>Precio del alimento (por kg)</t>
        </is>
      </c>
      <c r="C9" s="7" t="n">
        <v>1</v>
      </c>
    </row>
    <row r="10">
      <c r="B10" s="5" t="inlineStr">
        <is>
          <t>Factor de conversión (kg alimento / kg pez)</t>
        </is>
      </c>
      <c r="C10" s="8" t="n">
        <v>1.5</v>
      </c>
    </row>
    <row r="11">
      <c r="B11" s="5" t="inlineStr">
        <is>
          <t>Supervivencia (%)</t>
        </is>
      </c>
      <c r="C11" s="9" t="n">
        <v>0.85</v>
      </c>
    </row>
    <row r="12">
      <c r="B12" s="5" t="inlineStr">
        <is>
          <t>Peso de cosecha por pez (kg)</t>
        </is>
      </c>
      <c r="C12" s="7" t="n">
        <v>0.5</v>
      </c>
    </row>
    <row r="13">
      <c r="B13" s="5" t="inlineStr">
        <is>
          <t>Precio de venta (por kg)</t>
        </is>
      </c>
      <c r="C13" s="7" t="n">
        <v>4</v>
      </c>
    </row>
    <row r="14">
      <c r="B14" s="5" t="inlineStr">
        <is>
          <t>Otros costos por mes (energía, etc.)</t>
        </is>
      </c>
      <c r="C14" s="6" t="n">
        <v>30</v>
      </c>
    </row>
    <row r="16">
      <c r="B16" s="10" t="inlineStr">
        <is>
          <t>RESULTADO POR CICLO (calculado)</t>
        </is>
      </c>
      <c r="C16" s="11" t="n"/>
    </row>
    <row r="17">
      <c r="B17" s="5" t="inlineStr">
        <is>
          <t>Peces cosechados</t>
        </is>
      </c>
      <c r="C17" s="12">
        <f>$C$6*$C$11</f>
        <v/>
      </c>
    </row>
    <row r="18">
      <c r="B18" s="5" t="inlineStr">
        <is>
          <t>Kg producidos por ciclo</t>
        </is>
      </c>
      <c r="C18" s="12">
        <f>$C$17*$C$12</f>
        <v/>
      </c>
    </row>
    <row r="19">
      <c r="B19" s="5" t="inlineStr">
        <is>
          <t>Ingreso por ciclo (cosecha)</t>
        </is>
      </c>
      <c r="C19" s="12">
        <f>$C$18*$C$13</f>
        <v/>
      </c>
    </row>
    <row r="20">
      <c r="B20" s="5" t="inlineStr">
        <is>
          <t>Costo de alimento por ciclo</t>
        </is>
      </c>
      <c r="C20" s="13">
        <f>$C$18*$C$10*$C$9</f>
        <v/>
      </c>
    </row>
    <row r="23">
      <c r="B23" s="14" t="inlineStr">
        <is>
          <t>MES</t>
        </is>
      </c>
      <c r="C23" s="15" t="inlineStr">
        <is>
          <t>MOVIMIENTO</t>
        </is>
      </c>
      <c r="D23" s="14" t="inlineStr">
        <is>
          <t>EGRESOS</t>
        </is>
      </c>
      <c r="E23" s="14" t="inlineStr">
        <is>
          <t>INGRESOS</t>
        </is>
      </c>
      <c r="F23" s="14" t="inlineStr">
        <is>
          <t>FLUJO</t>
        </is>
      </c>
      <c r="G23" s="14" t="inlineStr">
        <is>
          <t>ACUMULADO</t>
        </is>
      </c>
    </row>
    <row r="24">
      <c r="B24" s="16" t="n">
        <v>1</v>
      </c>
      <c r="C24" s="17" t="inlineStr">
        <is>
          <t>Tanque + alevines + alimento</t>
        </is>
      </c>
      <c r="D24" s="18">
        <f>$C$8+$C$6*$C$7+($C$20/5)+$C$14</f>
        <v/>
      </c>
      <c r="E24" s="18">
        <f>0</f>
        <v/>
      </c>
      <c r="F24" s="19">
        <f>E24-D24</f>
        <v/>
      </c>
      <c r="G24" s="19">
        <f>F24</f>
        <v/>
      </c>
    </row>
    <row r="25">
      <c r="B25" s="16" t="n">
        <v>2</v>
      </c>
      <c r="C25" s="17" t="inlineStr">
        <is>
          <t>Alimento</t>
        </is>
      </c>
      <c r="D25" s="18">
        <f>($C$20/5)+$C$14</f>
        <v/>
      </c>
      <c r="E25" s="18">
        <f>0</f>
        <v/>
      </c>
      <c r="F25" s="19">
        <f>E25-D25</f>
        <v/>
      </c>
      <c r="G25" s="19">
        <f>G24+F25</f>
        <v/>
      </c>
    </row>
    <row r="26">
      <c r="B26" s="16" t="n">
        <v>3</v>
      </c>
      <c r="C26" s="17" t="inlineStr">
        <is>
          <t>Alimento</t>
        </is>
      </c>
      <c r="D26" s="18">
        <f>($C$20/5)+$C$14</f>
        <v/>
      </c>
      <c r="E26" s="18">
        <f>0</f>
        <v/>
      </c>
      <c r="F26" s="19">
        <f>E26-D26</f>
        <v/>
      </c>
      <c r="G26" s="19">
        <f>G25+F26</f>
        <v/>
      </c>
    </row>
    <row r="27">
      <c r="B27" s="16" t="n">
        <v>4</v>
      </c>
      <c r="C27" s="17" t="inlineStr">
        <is>
          <t>Alimento</t>
        </is>
      </c>
      <c r="D27" s="18">
        <f>($C$20/5)+$C$14</f>
        <v/>
      </c>
      <c r="E27" s="18">
        <f>0</f>
        <v/>
      </c>
      <c r="F27" s="19">
        <f>E27-D27</f>
        <v/>
      </c>
      <c r="G27" s="19">
        <f>G26+F27</f>
        <v/>
      </c>
    </row>
    <row r="28">
      <c r="B28" s="16" t="n">
        <v>5</v>
      </c>
      <c r="C28" s="17" t="inlineStr">
        <is>
          <t>Alimento</t>
        </is>
      </c>
      <c r="D28" s="18">
        <f>($C$20/5)+$C$14</f>
        <v/>
      </c>
      <c r="E28" s="18">
        <f>0</f>
        <v/>
      </c>
      <c r="F28" s="19">
        <f>E28-D28</f>
        <v/>
      </c>
      <c r="G28" s="19">
        <f>G27+F28</f>
        <v/>
      </c>
    </row>
    <row r="29">
      <c r="B29" s="16" t="n">
        <v>6</v>
      </c>
      <c r="C29" s="17" t="inlineStr">
        <is>
          <t>Cosecha ciclo 1</t>
        </is>
      </c>
      <c r="D29" s="18">
        <f>$C$14</f>
        <v/>
      </c>
      <c r="E29" s="18">
        <f>$C$19</f>
        <v/>
      </c>
      <c r="F29" s="19">
        <f>E29-D29</f>
        <v/>
      </c>
      <c r="G29" s="19">
        <f>G28+F29</f>
        <v/>
      </c>
    </row>
    <row r="30">
      <c r="B30" s="16" t="n">
        <v>7</v>
      </c>
      <c r="C30" s="17" t="inlineStr">
        <is>
          <t>Alevines + alimento</t>
        </is>
      </c>
      <c r="D30" s="18">
        <f>$C$6*$C$7+($C$20/5)+$C$14</f>
        <v/>
      </c>
      <c r="E30" s="18">
        <f>0</f>
        <v/>
      </c>
      <c r="F30" s="19">
        <f>E30-D30</f>
        <v/>
      </c>
      <c r="G30" s="19">
        <f>G29+F30</f>
        <v/>
      </c>
    </row>
    <row r="31">
      <c r="B31" s="16" t="n">
        <v>8</v>
      </c>
      <c r="C31" s="17" t="inlineStr">
        <is>
          <t>Alimento</t>
        </is>
      </c>
      <c r="D31" s="18">
        <f>($C$20/5)+$C$14</f>
        <v/>
      </c>
      <c r="E31" s="18">
        <f>0</f>
        <v/>
      </c>
      <c r="F31" s="19">
        <f>E31-D31</f>
        <v/>
      </c>
      <c r="G31" s="19">
        <f>G30+F31</f>
        <v/>
      </c>
    </row>
    <row r="32">
      <c r="B32" s="16" t="n">
        <v>9</v>
      </c>
      <c r="C32" s="17" t="inlineStr">
        <is>
          <t>Alimento</t>
        </is>
      </c>
      <c r="D32" s="18">
        <f>($C$20/5)+$C$14</f>
        <v/>
      </c>
      <c r="E32" s="18">
        <f>0</f>
        <v/>
      </c>
      <c r="F32" s="19">
        <f>E32-D32</f>
        <v/>
      </c>
      <c r="G32" s="19">
        <f>G31+F32</f>
        <v/>
      </c>
    </row>
    <row r="33">
      <c r="B33" s="16" t="n">
        <v>10</v>
      </c>
      <c r="C33" s="17" t="inlineStr">
        <is>
          <t>Alimento</t>
        </is>
      </c>
      <c r="D33" s="18">
        <f>($C$20/5)+$C$14</f>
        <v/>
      </c>
      <c r="E33" s="18">
        <f>0</f>
        <v/>
      </c>
      <c r="F33" s="19">
        <f>E33-D33</f>
        <v/>
      </c>
      <c r="G33" s="19">
        <f>G32+F33</f>
        <v/>
      </c>
    </row>
    <row r="34">
      <c r="B34" s="16" t="n">
        <v>11</v>
      </c>
      <c r="C34" s="17" t="inlineStr">
        <is>
          <t>Alimento</t>
        </is>
      </c>
      <c r="D34" s="18">
        <f>($C$20/5)+$C$14</f>
        <v/>
      </c>
      <c r="E34" s="18">
        <f>0</f>
        <v/>
      </c>
      <c r="F34" s="19">
        <f>E34-D34</f>
        <v/>
      </c>
      <c r="G34" s="19">
        <f>G33+F34</f>
        <v/>
      </c>
    </row>
    <row r="35">
      <c r="B35" s="16" t="n">
        <v>12</v>
      </c>
      <c r="C35" s="17" t="inlineStr">
        <is>
          <t>Cosecha ciclo 2</t>
        </is>
      </c>
      <c r="D35" s="18">
        <f>$C$14</f>
        <v/>
      </c>
      <c r="E35" s="18">
        <f>$C$19</f>
        <v/>
      </c>
      <c r="F35" s="19">
        <f>E35-D35</f>
        <v/>
      </c>
      <c r="G35" s="19">
        <f>G34+F35</f>
        <v/>
      </c>
    </row>
    <row r="36">
      <c r="B36" s="20" t="inlineStr">
        <is>
          <t>TOTAL</t>
        </is>
      </c>
      <c r="C36" s="21" t="inlineStr">
        <is>
          <t>12 meses · 2 ciclos</t>
        </is>
      </c>
      <c r="D36" s="22">
        <f>SUM(D24:D35)</f>
        <v/>
      </c>
      <c r="E36" s="22">
        <f>SUM(E24:E35)</f>
        <v/>
      </c>
      <c r="F36" s="22">
        <f>E36-D36</f>
        <v/>
      </c>
      <c r="G36" s="23">
        <f>G35</f>
        <v/>
      </c>
    </row>
    <row r="38">
      <c r="B38" s="24" t="inlineStr">
        <is>
          <t>Ganancia estimada a 12 meses</t>
        </is>
      </c>
      <c r="C38" s="25">
        <f>G35</f>
        <v/>
      </c>
    </row>
    <row r="39">
      <c r="B39" s="26" t="inlineStr">
        <is>
          <t>Recuperas tu inversión alrededor del mes 6 (1ª cosecha).</t>
        </is>
      </c>
    </row>
    <row r="41">
      <c r="B41" s="27" t="inlineStr">
        <is>
          <t>Cifras de ejemplo. Ajusta las celdas amarillas con los precios de tu ciudad. Estimación, no ganancia garantizada.</t>
        </is>
      </c>
    </row>
  </sheetData>
  <mergeCells count="4">
    <mergeCell ref="B3:G3"/>
    <mergeCell ref="B2:G2"/>
    <mergeCell ref="B5:C5"/>
    <mergeCell ref="B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2026-07-24T17:15:38Z</dcterms:created>
  <dcterms:modified xsi:type="dcterms:W3CDTF">2026-07-24T17:15:38Z</dcterms:modified>
</cp:coreProperties>
</file>